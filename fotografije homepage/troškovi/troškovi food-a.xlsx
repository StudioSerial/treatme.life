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kljacines/Desktop/treat.me/"/>
    </mc:Choice>
  </mc:AlternateContent>
  <xr:revisionPtr revIDLastSave="0" documentId="8_{E0192C9A-A797-3B4C-B994-44939FBBF78E}" xr6:coauthVersionLast="47" xr6:coauthVersionMax="47" xr10:uidLastSave="{00000000-0000-0000-0000-000000000000}"/>
  <bookViews>
    <workbookView xWindow="780" yWindow="960" windowWidth="27640" windowHeight="16140" xr2:uid="{90B74DA2-70CB-3C45-B3D6-40194DE63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F59" i="1"/>
  <c r="E56" i="1"/>
  <c r="E13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28" i="1"/>
  <c r="E27" i="1"/>
  <c r="E26" i="1"/>
  <c r="E12" i="1"/>
  <c r="E29" i="1"/>
  <c r="E25" i="1"/>
  <c r="E24" i="1"/>
  <c r="E23" i="1"/>
  <c r="E22" i="1"/>
  <c r="E21" i="1"/>
  <c r="E20" i="1"/>
  <c r="E19" i="1"/>
  <c r="E18" i="1"/>
  <c r="E17" i="1"/>
  <c r="E14" i="1"/>
  <c r="E11" i="1"/>
  <c r="E7" i="1"/>
  <c r="E8" i="1"/>
  <c r="E9" i="1"/>
  <c r="E10" i="1"/>
  <c r="E4" i="1"/>
  <c r="E5" i="1"/>
  <c r="E6" i="1"/>
  <c r="E3" i="1"/>
  <c r="E46" i="1" l="1"/>
  <c r="E52" i="1" s="1"/>
  <c r="E30" i="1"/>
  <c r="E51" i="1" s="1"/>
  <c r="E15" i="1"/>
  <c r="E50" i="1" s="1"/>
  <c r="E59" i="1" s="1"/>
  <c r="E60" i="1" s="1"/>
</calcChain>
</file>

<file path=xl/sharedStrings.xml><?xml version="1.0" encoding="utf-8"?>
<sst xmlns="http://schemas.openxmlformats.org/spreadsheetml/2006/main" count="53" uniqueCount="46">
  <si>
    <t>doručak</t>
  </si>
  <si>
    <t>banane</t>
  </si>
  <si>
    <t>badem mlijeko</t>
  </si>
  <si>
    <t>borovnice</t>
  </si>
  <si>
    <t>menu 7 ljudi</t>
  </si>
  <si>
    <t>maline</t>
  </si>
  <si>
    <t xml:space="preserve">doručak </t>
  </si>
  <si>
    <t>breskve</t>
  </si>
  <si>
    <t>chia sjemenke</t>
  </si>
  <si>
    <t>bademi</t>
  </si>
  <si>
    <t>cimet</t>
  </si>
  <si>
    <t>brusnice</t>
  </si>
  <si>
    <t>limun</t>
  </si>
  <si>
    <t>ručak 1</t>
  </si>
  <si>
    <t>ručak 1 tažin</t>
  </si>
  <si>
    <t>luk</t>
  </si>
  <si>
    <t>mrkva</t>
  </si>
  <si>
    <t>krumpir</t>
  </si>
  <si>
    <t>tikvica</t>
  </si>
  <si>
    <t>patlidžan</t>
  </si>
  <si>
    <t>paradajz</t>
  </si>
  <si>
    <t>češnjak</t>
  </si>
  <si>
    <t>čili</t>
  </si>
  <si>
    <t>paprika</t>
  </si>
  <si>
    <t>kumin</t>
  </si>
  <si>
    <t>maslinovo</t>
  </si>
  <si>
    <t>sol</t>
  </si>
  <si>
    <t>crvena paprika</t>
  </si>
  <si>
    <t>zobene</t>
  </si>
  <si>
    <t>ručak 2 Ines</t>
  </si>
  <si>
    <t>krastavac</t>
  </si>
  <si>
    <t>paradajz chery</t>
  </si>
  <si>
    <t>cous cous</t>
  </si>
  <si>
    <t>soya sous</t>
  </si>
  <si>
    <t>jabuka</t>
  </si>
  <si>
    <t>sušena rajčica</t>
  </si>
  <si>
    <t>trošak kuća</t>
  </si>
  <si>
    <t>taxi</t>
  </si>
  <si>
    <t>orašasto</t>
  </si>
  <si>
    <t>ručak 2</t>
  </si>
  <si>
    <t>desert</t>
  </si>
  <si>
    <t>večera</t>
  </si>
  <si>
    <t>kanui</t>
  </si>
  <si>
    <t>petra</t>
  </si>
  <si>
    <t>ines</t>
  </si>
  <si>
    <t>min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</si>
</sst>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theme="1" tint="0.34998626667073579"/>
      </left>
      <right style="dotted">
        <color theme="1" tint="0.34998626667073579"/>
      </right>
      <top style="dotted">
        <color theme="1" tint="0.34998626667073579"/>
      </top>
      <bottom/>
      <diagonal/>
    </border>
    <border>
      <left style="dotted">
        <color theme="1" tint="0.34998626667073579"/>
      </left>
      <right style="dotted">
        <color theme="1" tint="0.34998626667073579"/>
      </right>
      <top/>
      <bottom/>
      <diagonal/>
    </border>
    <border>
      <left style="dotted">
        <color theme="1" tint="0.34998626667073579"/>
      </left>
      <right style="dotted">
        <color theme="1" tint="0.34998626667073579"/>
      </right>
      <top/>
      <bottom style="dotted">
        <color theme="1" tint="0.34998626667073579"/>
      </bottom>
      <diagonal/>
    </border>
    <border>
      <left style="dotted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1" fillId="0" borderId="5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 textRotation="255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2A7E-32EB-FB41-8EC2-1F5C8355257B}">
  <dimension ref="A1:F60"/>
  <sheetViews>
    <sheetView tabSelected="1" topLeftCell="A46" workbookViewId="0">
      <selection activeCell="F59" sqref="F59"/>
    </sheetView>
  </sheetViews>
  <sheetFormatPr baseColWidth="10" defaultColWidth="52" defaultRowHeight="16" x14ac:dyDescent="0.2"/>
  <cols>
    <col min="1" max="1" width="28.83203125" style="1" customWidth="1"/>
    <col min="2" max="2" width="22.6640625" style="1" customWidth="1"/>
    <col min="3" max="3" width="14" style="1" customWidth="1"/>
    <col min="4" max="4" width="9.5" style="1" customWidth="1"/>
    <col min="5" max="16384" width="52" style="1"/>
  </cols>
  <sheetData>
    <row r="1" spans="1:6" ht="40" customHeight="1" x14ac:dyDescent="0.2"/>
    <row r="2" spans="1:6" ht="40" customHeight="1" x14ac:dyDescent="0.2">
      <c r="A2" s="3" t="s">
        <v>4</v>
      </c>
      <c r="B2" s="3"/>
      <c r="C2" s="3"/>
      <c r="D2" s="3"/>
      <c r="E2" s="3"/>
    </row>
    <row r="3" spans="1:6" ht="40" customHeight="1" x14ac:dyDescent="0.2">
      <c r="A3" s="5" t="s">
        <v>6</v>
      </c>
      <c r="B3" s="9" t="s">
        <v>1</v>
      </c>
      <c r="C3" s="10">
        <v>1</v>
      </c>
      <c r="D3" s="8">
        <v>1.5</v>
      </c>
      <c r="E3" s="8">
        <f>D3*C3</f>
        <v>1.5</v>
      </c>
      <c r="F3" s="2"/>
    </row>
    <row r="4" spans="1:6" ht="40" customHeight="1" x14ac:dyDescent="0.2">
      <c r="A4" s="6"/>
      <c r="B4" s="9" t="s">
        <v>2</v>
      </c>
      <c r="C4" s="10">
        <v>2</v>
      </c>
      <c r="D4" s="8">
        <v>3.5</v>
      </c>
      <c r="E4" s="8">
        <f t="shared" ref="E4:E14" si="0">D4*C4</f>
        <v>7</v>
      </c>
      <c r="F4" s="2"/>
    </row>
    <row r="5" spans="1:6" ht="40" customHeight="1" x14ac:dyDescent="0.2">
      <c r="A5" s="6"/>
      <c r="B5" s="9" t="s">
        <v>3</v>
      </c>
      <c r="C5" s="10">
        <v>3</v>
      </c>
      <c r="D5" s="8">
        <v>1.5</v>
      </c>
      <c r="E5" s="8">
        <f t="shared" si="0"/>
        <v>4.5</v>
      </c>
      <c r="F5" s="2"/>
    </row>
    <row r="6" spans="1:6" ht="40" customHeight="1" x14ac:dyDescent="0.2">
      <c r="A6" s="6"/>
      <c r="B6" s="9" t="s">
        <v>5</v>
      </c>
      <c r="C6" s="10">
        <v>2</v>
      </c>
      <c r="D6" s="8">
        <v>2</v>
      </c>
      <c r="E6" s="8">
        <f t="shared" si="0"/>
        <v>4</v>
      </c>
      <c r="F6" s="2"/>
    </row>
    <row r="7" spans="1:6" ht="40" customHeight="1" x14ac:dyDescent="0.2">
      <c r="A7" s="6"/>
      <c r="B7" s="9" t="s">
        <v>7</v>
      </c>
      <c r="C7" s="10">
        <v>1</v>
      </c>
      <c r="D7" s="8">
        <v>2</v>
      </c>
      <c r="E7" s="8">
        <f t="shared" si="0"/>
        <v>2</v>
      </c>
      <c r="F7" s="2"/>
    </row>
    <row r="8" spans="1:6" ht="40" customHeight="1" x14ac:dyDescent="0.2">
      <c r="A8" s="6"/>
      <c r="B8" s="9" t="s">
        <v>8</v>
      </c>
      <c r="C8" s="10">
        <v>0.2</v>
      </c>
      <c r="D8" s="8">
        <v>4.5</v>
      </c>
      <c r="E8" s="8">
        <f t="shared" si="0"/>
        <v>0.9</v>
      </c>
      <c r="F8" s="2"/>
    </row>
    <row r="9" spans="1:6" ht="40" customHeight="1" x14ac:dyDescent="0.2">
      <c r="A9" s="6"/>
      <c r="B9" s="9" t="s">
        <v>9</v>
      </c>
      <c r="C9" s="10">
        <v>0.3</v>
      </c>
      <c r="D9" s="8">
        <v>5.49</v>
      </c>
      <c r="E9" s="8">
        <f t="shared" si="0"/>
        <v>1.647</v>
      </c>
      <c r="F9" s="2"/>
    </row>
    <row r="10" spans="1:6" ht="40" customHeight="1" x14ac:dyDescent="0.2">
      <c r="A10" s="6"/>
      <c r="B10" s="9" t="s">
        <v>10</v>
      </c>
      <c r="C10" s="10">
        <v>0.2</v>
      </c>
      <c r="D10" s="8">
        <v>1.5</v>
      </c>
      <c r="E10" s="8">
        <f t="shared" si="0"/>
        <v>0.30000000000000004</v>
      </c>
      <c r="F10" s="2"/>
    </row>
    <row r="11" spans="1:6" ht="40" customHeight="1" x14ac:dyDescent="0.2">
      <c r="A11" s="6"/>
      <c r="B11" s="9" t="s">
        <v>11</v>
      </c>
      <c r="C11" s="10">
        <v>0.2</v>
      </c>
      <c r="D11" s="8">
        <v>5.39</v>
      </c>
      <c r="E11" s="8">
        <f t="shared" si="0"/>
        <v>1.0780000000000001</v>
      </c>
      <c r="F11" s="2"/>
    </row>
    <row r="12" spans="1:6" ht="40" customHeight="1" x14ac:dyDescent="0.2">
      <c r="A12" s="6"/>
      <c r="B12" s="9" t="s">
        <v>28</v>
      </c>
      <c r="C12" s="10">
        <v>1</v>
      </c>
      <c r="D12" s="8">
        <v>2.5</v>
      </c>
      <c r="E12" s="8">
        <f t="shared" si="0"/>
        <v>2.5</v>
      </c>
      <c r="F12" s="2"/>
    </row>
    <row r="13" spans="1:6" ht="40" customHeight="1" x14ac:dyDescent="0.2">
      <c r="A13" s="6"/>
      <c r="B13" s="9" t="s">
        <v>9</v>
      </c>
      <c r="C13" s="10">
        <v>1</v>
      </c>
      <c r="D13" s="8">
        <v>5</v>
      </c>
      <c r="E13" s="8">
        <f t="shared" si="0"/>
        <v>5</v>
      </c>
      <c r="F13" s="2"/>
    </row>
    <row r="14" spans="1:6" ht="40" customHeight="1" x14ac:dyDescent="0.2">
      <c r="A14" s="7"/>
      <c r="B14" s="9" t="s">
        <v>12</v>
      </c>
      <c r="C14" s="10">
        <v>0.4</v>
      </c>
      <c r="D14" s="8">
        <v>1.5</v>
      </c>
      <c r="E14" s="8">
        <f t="shared" si="0"/>
        <v>0.60000000000000009</v>
      </c>
      <c r="F14" s="2"/>
    </row>
    <row r="15" spans="1:6" ht="40" customHeight="1" x14ac:dyDescent="0.2">
      <c r="A15" s="4"/>
      <c r="B15" s="4"/>
      <c r="C15" s="4"/>
      <c r="D15" s="11"/>
      <c r="E15" s="12">
        <f>SUM(E3:E14)</f>
        <v>31.024999999999999</v>
      </c>
    </row>
    <row r="16" spans="1:6" ht="40" customHeight="1" x14ac:dyDescent="0.2">
      <c r="A16" s="3"/>
      <c r="B16" s="3"/>
      <c r="C16" s="3"/>
      <c r="D16" s="3"/>
      <c r="E16" s="3"/>
    </row>
    <row r="17" spans="1:6" ht="40" customHeight="1" x14ac:dyDescent="0.2">
      <c r="A17" s="5" t="s">
        <v>14</v>
      </c>
      <c r="B17" s="9" t="s">
        <v>15</v>
      </c>
      <c r="C17" s="10">
        <v>1</v>
      </c>
      <c r="D17" s="8">
        <v>1.3</v>
      </c>
      <c r="E17" s="8">
        <f>D17*C17</f>
        <v>1.3</v>
      </c>
      <c r="F17" s="2"/>
    </row>
    <row r="18" spans="1:6" ht="40" customHeight="1" x14ac:dyDescent="0.2">
      <c r="A18" s="6"/>
      <c r="B18" s="9" t="s">
        <v>16</v>
      </c>
      <c r="C18" s="10">
        <v>1</v>
      </c>
      <c r="D18" s="8">
        <v>1.49</v>
      </c>
      <c r="E18" s="8">
        <f t="shared" ref="E18:E29" si="1">D18*C18</f>
        <v>1.49</v>
      </c>
      <c r="F18" s="2"/>
    </row>
    <row r="19" spans="1:6" ht="40" customHeight="1" x14ac:dyDescent="0.2">
      <c r="A19" s="6"/>
      <c r="B19" s="9" t="s">
        <v>17</v>
      </c>
      <c r="C19" s="10">
        <v>1.5</v>
      </c>
      <c r="D19" s="8">
        <v>1.69</v>
      </c>
      <c r="E19" s="8">
        <f t="shared" si="1"/>
        <v>2.5350000000000001</v>
      </c>
      <c r="F19" s="2"/>
    </row>
    <row r="20" spans="1:6" ht="40" customHeight="1" x14ac:dyDescent="0.2">
      <c r="A20" s="6"/>
      <c r="B20" s="9" t="s">
        <v>18</v>
      </c>
      <c r="C20" s="10">
        <v>2</v>
      </c>
      <c r="D20" s="8">
        <v>0.89</v>
      </c>
      <c r="E20" s="8">
        <f t="shared" si="1"/>
        <v>1.78</v>
      </c>
      <c r="F20" s="2"/>
    </row>
    <row r="21" spans="1:6" ht="40" customHeight="1" x14ac:dyDescent="0.2">
      <c r="A21" s="6"/>
      <c r="B21" s="9" t="s">
        <v>19</v>
      </c>
      <c r="C21" s="10">
        <v>2</v>
      </c>
      <c r="D21" s="8">
        <v>1.39</v>
      </c>
      <c r="E21" s="8">
        <f t="shared" si="1"/>
        <v>2.78</v>
      </c>
      <c r="F21" s="2"/>
    </row>
    <row r="22" spans="1:6" ht="40" customHeight="1" x14ac:dyDescent="0.2">
      <c r="A22" s="6"/>
      <c r="B22" s="9" t="s">
        <v>20</v>
      </c>
      <c r="C22" s="10">
        <v>0.2</v>
      </c>
      <c r="D22" s="8">
        <v>3.5</v>
      </c>
      <c r="E22" s="8">
        <f t="shared" si="1"/>
        <v>0.70000000000000007</v>
      </c>
      <c r="F22" s="2"/>
    </row>
    <row r="23" spans="1:6" ht="40" customHeight="1" x14ac:dyDescent="0.2">
      <c r="A23" s="6"/>
      <c r="B23" s="9" t="s">
        <v>21</v>
      </c>
      <c r="C23" s="10">
        <v>0.3</v>
      </c>
      <c r="D23" s="8">
        <v>3.99</v>
      </c>
      <c r="E23" s="8">
        <f t="shared" si="1"/>
        <v>1.1970000000000001</v>
      </c>
      <c r="F23" s="2"/>
    </row>
    <row r="24" spans="1:6" ht="40" customHeight="1" x14ac:dyDescent="0.2">
      <c r="A24" s="6"/>
      <c r="B24" s="9" t="s">
        <v>22</v>
      </c>
      <c r="C24" s="10">
        <v>2</v>
      </c>
      <c r="D24" s="8">
        <v>1.99</v>
      </c>
      <c r="E24" s="8">
        <f t="shared" si="1"/>
        <v>3.98</v>
      </c>
      <c r="F24" s="2"/>
    </row>
    <row r="25" spans="1:6" ht="40" customHeight="1" x14ac:dyDescent="0.2">
      <c r="A25" s="6"/>
      <c r="B25" s="9" t="s">
        <v>23</v>
      </c>
      <c r="C25" s="10">
        <v>1</v>
      </c>
      <c r="D25" s="8">
        <v>4.99</v>
      </c>
      <c r="E25" s="8">
        <f t="shared" si="1"/>
        <v>4.99</v>
      </c>
      <c r="F25" s="2"/>
    </row>
    <row r="26" spans="1:6" ht="40" customHeight="1" x14ac:dyDescent="0.2">
      <c r="A26" s="6"/>
      <c r="B26" s="9" t="s">
        <v>25</v>
      </c>
      <c r="C26" s="10">
        <v>0.1</v>
      </c>
      <c r="D26" s="8">
        <v>7</v>
      </c>
      <c r="E26" s="8">
        <f t="shared" si="1"/>
        <v>0.70000000000000007</v>
      </c>
      <c r="F26" s="2"/>
    </row>
    <row r="27" spans="1:6" ht="40" customHeight="1" x14ac:dyDescent="0.2">
      <c r="A27" s="6"/>
      <c r="B27" s="9" t="s">
        <v>26</v>
      </c>
      <c r="C27" s="10">
        <v>0.01</v>
      </c>
      <c r="D27" s="8">
        <v>1.5</v>
      </c>
      <c r="E27" s="8">
        <f t="shared" si="1"/>
        <v>1.4999999999999999E-2</v>
      </c>
      <c r="F27" s="2"/>
    </row>
    <row r="28" spans="1:6" ht="40" customHeight="1" x14ac:dyDescent="0.2">
      <c r="A28" s="6"/>
      <c r="B28" s="9" t="s">
        <v>27</v>
      </c>
      <c r="C28" s="10">
        <v>0.1</v>
      </c>
      <c r="D28" s="8">
        <v>2</v>
      </c>
      <c r="E28" s="8">
        <f t="shared" si="1"/>
        <v>0.2</v>
      </c>
      <c r="F28" s="2"/>
    </row>
    <row r="29" spans="1:6" ht="40" customHeight="1" x14ac:dyDescent="0.2">
      <c r="A29" s="7"/>
      <c r="B29" s="9" t="s">
        <v>24</v>
      </c>
      <c r="C29" s="10">
        <v>0.1</v>
      </c>
      <c r="D29" s="8">
        <v>2</v>
      </c>
      <c r="E29" s="8">
        <f t="shared" si="1"/>
        <v>0.2</v>
      </c>
      <c r="F29" s="2"/>
    </row>
    <row r="30" spans="1:6" ht="40" customHeight="1" x14ac:dyDescent="0.2">
      <c r="A30" s="4"/>
      <c r="B30" s="4"/>
      <c r="C30" s="4"/>
      <c r="D30" s="11"/>
      <c r="E30" s="12">
        <f>SUM(E17:E29)</f>
        <v>21.867000000000001</v>
      </c>
    </row>
    <row r="31" spans="1:6" ht="40" customHeight="1" x14ac:dyDescent="0.2"/>
    <row r="32" spans="1:6" ht="40" customHeight="1" x14ac:dyDescent="0.2"/>
    <row r="33" spans="1:6" ht="40" customHeight="1" x14ac:dyDescent="0.2">
      <c r="A33" s="5" t="s">
        <v>29</v>
      </c>
      <c r="B33" s="9" t="s">
        <v>15</v>
      </c>
      <c r="C33" s="10">
        <v>0.5</v>
      </c>
      <c r="D33" s="8">
        <v>1.3</v>
      </c>
      <c r="E33" s="8">
        <f>D33*C33</f>
        <v>0.65</v>
      </c>
      <c r="F33" s="2"/>
    </row>
    <row r="34" spans="1:6" ht="40" customHeight="1" x14ac:dyDescent="0.2">
      <c r="A34" s="6"/>
      <c r="B34" s="9" t="s">
        <v>16</v>
      </c>
      <c r="C34" s="10">
        <v>0.3</v>
      </c>
      <c r="D34" s="8">
        <v>1.49</v>
      </c>
      <c r="E34" s="8">
        <f t="shared" ref="E34:E45" si="2">D34*C34</f>
        <v>0.44700000000000001</v>
      </c>
      <c r="F34" s="2"/>
    </row>
    <row r="35" spans="1:6" ht="40" customHeight="1" x14ac:dyDescent="0.2">
      <c r="A35" s="6"/>
      <c r="B35" s="9" t="s">
        <v>30</v>
      </c>
      <c r="C35" s="10">
        <v>2</v>
      </c>
      <c r="D35" s="8">
        <v>1.5</v>
      </c>
      <c r="E35" s="8">
        <f t="shared" si="2"/>
        <v>3</v>
      </c>
      <c r="F35" s="2"/>
    </row>
    <row r="36" spans="1:6" ht="40" customHeight="1" x14ac:dyDescent="0.2">
      <c r="A36" s="6"/>
      <c r="B36" s="9" t="s">
        <v>31</v>
      </c>
      <c r="C36" s="10">
        <v>2</v>
      </c>
      <c r="D36" s="8">
        <v>2</v>
      </c>
      <c r="E36" s="8">
        <f t="shared" si="2"/>
        <v>4</v>
      </c>
      <c r="F36" s="2"/>
    </row>
    <row r="37" spans="1:6" ht="40" customHeight="1" x14ac:dyDescent="0.2">
      <c r="A37" s="6"/>
      <c r="B37" s="9" t="s">
        <v>32</v>
      </c>
      <c r="C37" s="10">
        <v>0.5</v>
      </c>
      <c r="D37" s="8">
        <v>1.39</v>
      </c>
      <c r="E37" s="8">
        <f t="shared" si="2"/>
        <v>0.69499999999999995</v>
      </c>
      <c r="F37" s="2"/>
    </row>
    <row r="38" spans="1:6" ht="40" customHeight="1" x14ac:dyDescent="0.2">
      <c r="A38" s="6"/>
      <c r="B38" s="9" t="s">
        <v>33</v>
      </c>
      <c r="C38" s="10">
        <v>0.2</v>
      </c>
      <c r="D38" s="8">
        <v>3.5</v>
      </c>
      <c r="E38" s="8">
        <f t="shared" si="2"/>
        <v>0.70000000000000007</v>
      </c>
      <c r="F38" s="2"/>
    </row>
    <row r="39" spans="1:6" ht="40" customHeight="1" x14ac:dyDescent="0.2">
      <c r="A39" s="6"/>
      <c r="B39" s="9" t="s">
        <v>21</v>
      </c>
      <c r="C39" s="10">
        <v>0.3</v>
      </c>
      <c r="D39" s="8">
        <v>3.99</v>
      </c>
      <c r="E39" s="8">
        <f t="shared" si="2"/>
        <v>1.1970000000000001</v>
      </c>
      <c r="F39" s="2"/>
    </row>
    <row r="40" spans="1:6" ht="40" customHeight="1" x14ac:dyDescent="0.2">
      <c r="A40" s="6"/>
      <c r="B40" s="9" t="s">
        <v>34</v>
      </c>
      <c r="C40" s="10">
        <v>0.3</v>
      </c>
      <c r="D40" s="8">
        <v>1.99</v>
      </c>
      <c r="E40" s="8">
        <f t="shared" si="2"/>
        <v>0.59699999999999998</v>
      </c>
      <c r="F40" s="2"/>
    </row>
    <row r="41" spans="1:6" ht="40" customHeight="1" x14ac:dyDescent="0.2">
      <c r="A41" s="6"/>
      <c r="B41" s="9" t="s">
        <v>35</v>
      </c>
      <c r="C41" s="10">
        <v>1</v>
      </c>
      <c r="D41" s="8">
        <v>4.99</v>
      </c>
      <c r="E41" s="8">
        <f t="shared" si="2"/>
        <v>4.99</v>
      </c>
      <c r="F41" s="2"/>
    </row>
    <row r="42" spans="1:6" ht="40" customHeight="1" x14ac:dyDescent="0.2">
      <c r="A42" s="6"/>
      <c r="B42" s="9" t="s">
        <v>25</v>
      </c>
      <c r="C42" s="10">
        <v>0.1</v>
      </c>
      <c r="D42" s="8">
        <v>7</v>
      </c>
      <c r="E42" s="8">
        <f t="shared" si="2"/>
        <v>0.70000000000000007</v>
      </c>
      <c r="F42" s="2"/>
    </row>
    <row r="43" spans="1:6" ht="40" customHeight="1" x14ac:dyDescent="0.2">
      <c r="A43" s="6"/>
      <c r="B43" s="9" t="s">
        <v>26</v>
      </c>
      <c r="C43" s="10">
        <v>0.01</v>
      </c>
      <c r="D43" s="8">
        <v>1.5</v>
      </c>
      <c r="E43" s="8">
        <f t="shared" si="2"/>
        <v>1.4999999999999999E-2</v>
      </c>
      <c r="F43" s="2"/>
    </row>
    <row r="44" spans="1:6" ht="40" customHeight="1" x14ac:dyDescent="0.2">
      <c r="A44" s="6"/>
      <c r="B44" s="9" t="s">
        <v>27</v>
      </c>
      <c r="C44" s="10">
        <v>0.1</v>
      </c>
      <c r="D44" s="8">
        <v>2</v>
      </c>
      <c r="E44" s="8">
        <f t="shared" si="2"/>
        <v>0.2</v>
      </c>
      <c r="F44" s="2"/>
    </row>
    <row r="45" spans="1:6" ht="40" customHeight="1" x14ac:dyDescent="0.2">
      <c r="A45" s="7"/>
      <c r="B45" s="9" t="s">
        <v>38</v>
      </c>
      <c r="C45" s="10">
        <v>1</v>
      </c>
      <c r="D45" s="8">
        <v>10</v>
      </c>
      <c r="E45" s="8">
        <f t="shared" si="2"/>
        <v>10</v>
      </c>
      <c r="F45" s="2"/>
    </row>
    <row r="46" spans="1:6" ht="40" customHeight="1" x14ac:dyDescent="0.2">
      <c r="A46" s="4"/>
      <c r="B46" s="4"/>
      <c r="C46" s="4"/>
      <c r="D46" s="11"/>
      <c r="E46" s="12">
        <f>SUM(E33:E45)</f>
        <v>27.190999999999999</v>
      </c>
    </row>
    <row r="47" spans="1:6" ht="40" customHeight="1" x14ac:dyDescent="0.2"/>
    <row r="48" spans="1:6" ht="40" customHeight="1" x14ac:dyDescent="0.2">
      <c r="A48" s="1" t="s">
        <v>36</v>
      </c>
      <c r="E48" s="1">
        <v>1050</v>
      </c>
    </row>
    <row r="49" spans="1:6" ht="40" customHeight="1" x14ac:dyDescent="0.2">
      <c r="A49" s="1" t="s">
        <v>37</v>
      </c>
      <c r="E49" s="1">
        <v>100</v>
      </c>
    </row>
    <row r="50" spans="1:6" ht="40" customHeight="1" x14ac:dyDescent="0.2">
      <c r="A50" s="1" t="s">
        <v>0</v>
      </c>
      <c r="E50" s="1">
        <f>3*E15</f>
        <v>93.074999999999989</v>
      </c>
    </row>
    <row r="51" spans="1:6" ht="40" customHeight="1" x14ac:dyDescent="0.2">
      <c r="A51" s="1" t="s">
        <v>13</v>
      </c>
      <c r="E51" s="1">
        <f>E30</f>
        <v>21.867000000000001</v>
      </c>
    </row>
    <row r="52" spans="1:6" ht="40" customHeight="1" x14ac:dyDescent="0.2">
      <c r="A52" s="1" t="s">
        <v>39</v>
      </c>
      <c r="E52" s="1">
        <f>E46</f>
        <v>27.190999999999999</v>
      </c>
    </row>
    <row r="53" spans="1:6" ht="40" customHeight="1" x14ac:dyDescent="0.2">
      <c r="A53" s="1" t="s">
        <v>40</v>
      </c>
      <c r="E53" s="1">
        <v>20</v>
      </c>
    </row>
    <row r="54" spans="1:6" ht="40" customHeight="1" x14ac:dyDescent="0.2">
      <c r="A54" s="1" t="s">
        <v>41</v>
      </c>
      <c r="E54" s="1">
        <v>40</v>
      </c>
    </row>
    <row r="55" spans="1:6" ht="40" customHeight="1" x14ac:dyDescent="0.2">
      <c r="A55" s="1" t="s">
        <v>42</v>
      </c>
      <c r="E55" s="1">
        <v>100</v>
      </c>
    </row>
    <row r="56" spans="1:6" ht="40" customHeight="1" x14ac:dyDescent="0.2">
      <c r="A56" s="1" t="s">
        <v>45</v>
      </c>
      <c r="D56" s="1">
        <v>5</v>
      </c>
      <c r="E56" s="1">
        <f>SUM(E48:E55)</f>
        <v>1452.133</v>
      </c>
      <c r="F56" s="1">
        <f>E56/D56</f>
        <v>290.42660000000001</v>
      </c>
    </row>
    <row r="57" spans="1:6" ht="39" customHeight="1" x14ac:dyDescent="0.2">
      <c r="A57" s="1" t="s">
        <v>43</v>
      </c>
      <c r="E57" s="1">
        <v>200</v>
      </c>
      <c r="F57" s="1">
        <v>150</v>
      </c>
    </row>
    <row r="58" spans="1:6" x14ac:dyDescent="0.2">
      <c r="A58" s="1" t="s">
        <v>44</v>
      </c>
      <c r="E58" s="1">
        <v>200</v>
      </c>
      <c r="F58" s="1">
        <v>150</v>
      </c>
    </row>
    <row r="59" spans="1:6" x14ac:dyDescent="0.2">
      <c r="E59" s="1">
        <f>SUM(E48:E58)</f>
        <v>3304.2660000000001</v>
      </c>
      <c r="F59" s="1">
        <f>SUM(F56:F58)</f>
        <v>590.42660000000001</v>
      </c>
    </row>
    <row r="60" spans="1:6" x14ac:dyDescent="0.2">
      <c r="E60" s="1">
        <f>E59/7</f>
        <v>472.03800000000001</v>
      </c>
    </row>
  </sheetData>
  <mergeCells count="3">
    <mergeCell ref="A3:A14"/>
    <mergeCell ref="A17:A29"/>
    <mergeCell ref="A33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Rukljac Ines</dc:creator>
  <cp:lastModifiedBy>Rukljac Ines</cp:lastModifiedBy>
  <dcterms:created xsi:type="dcterms:W3CDTF">2024-07-12T09:54:55Z</dcterms:created>
  <dcterms:modified xsi:type="dcterms:W3CDTF">2024-07-15T10:02:51Z</dcterms:modified>
</cp:coreProperties>
</file>